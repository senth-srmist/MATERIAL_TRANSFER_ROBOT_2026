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n3\Documents\Projects\MATERIAL_TRANSFER_ROBOT_2026\TECH_DOCS\"/>
    </mc:Choice>
  </mc:AlternateContent>
  <xr:revisionPtr revIDLastSave="0" documentId="13_ncr:1_{8CDF73F6-B8DA-4B63-9EF5-5B7FA73C9183}" xr6:coauthVersionLast="47" xr6:coauthVersionMax="47" xr10:uidLastSave="{00000000-0000-0000-0000-000000000000}"/>
  <bookViews>
    <workbookView xWindow="-108" yWindow="-108" windowWidth="23256" windowHeight="12456" xr2:uid="{EAE27284-3B62-4067-A50A-96499FEC82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F5" i="1"/>
  <c r="F6" i="1"/>
  <c r="F7" i="1"/>
  <c r="F4" i="1"/>
  <c r="F3" i="1" s="1"/>
  <c r="I3" i="1" s="1"/>
  <c r="J3" i="1" s="1"/>
  <c r="K3" i="1" s="1"/>
  <c r="F11" i="1"/>
  <c r="F12" i="1"/>
  <c r="F10" i="1"/>
  <c r="F9" i="1" s="1"/>
  <c r="I9" i="1" s="1"/>
  <c r="F8" i="1"/>
  <c r="I8" i="1" s="1"/>
  <c r="J8" i="1" s="1"/>
  <c r="J9" i="1" l="1"/>
  <c r="J13" i="1" l="1"/>
  <c r="J14" i="1" s="1"/>
  <c r="K9" i="1"/>
  <c r="J16" i="1" l="1"/>
  <c r="J18" i="1"/>
</calcChain>
</file>

<file path=xl/sharedStrings.xml><?xml version="1.0" encoding="utf-8"?>
<sst xmlns="http://schemas.openxmlformats.org/spreadsheetml/2006/main" count="29" uniqueCount="28">
  <si>
    <t>Drive Motors</t>
  </si>
  <si>
    <t>DC to AC Inverter</t>
  </si>
  <si>
    <t>Component</t>
  </si>
  <si>
    <t>Quantity</t>
  </si>
  <si>
    <t>Voltage</t>
  </si>
  <si>
    <t>Power</t>
  </si>
  <si>
    <t>Current</t>
  </si>
  <si>
    <t>Device</t>
  </si>
  <si>
    <t>Volatge</t>
  </si>
  <si>
    <t>Battery</t>
  </si>
  <si>
    <t>Buck converter</t>
  </si>
  <si>
    <t>With Buffer</t>
  </si>
  <si>
    <t>C-continous Rate</t>
  </si>
  <si>
    <t>Jetson Nano</t>
  </si>
  <si>
    <t>Speaker</t>
  </si>
  <si>
    <t>LIDAR</t>
  </si>
  <si>
    <t>Zed Mini Cam</t>
  </si>
  <si>
    <t>Continous Current</t>
  </si>
  <si>
    <t>Peak Current</t>
  </si>
  <si>
    <t>Ultrasonic</t>
  </si>
  <si>
    <t>Optoisolator</t>
  </si>
  <si>
    <t>Encoder</t>
  </si>
  <si>
    <t>Efficiency</t>
  </si>
  <si>
    <t>Total Current</t>
  </si>
  <si>
    <t>C-Peak Rate</t>
  </si>
  <si>
    <t>Ah</t>
  </si>
  <si>
    <t>Conversion Loss</t>
  </si>
  <si>
    <t>Total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</si>
</sst>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5" borderId="2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2" fillId="5" borderId="1" xfId="0" applyFont="1" applyFill="1" applyBorder="1"/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B80E-F96E-4A81-8664-353830E8CFBC}">
  <dimension ref="A1:L18"/>
  <sheetViews>
    <sheetView tabSelected="1" workbookViewId="0">
      <selection activeCell="A12" sqref="A12"/>
    </sheetView>
  </sheetViews>
  <sheetFormatPr defaultRowHeight="14.4" x14ac:dyDescent="0.3"/>
  <cols>
    <col min="1" max="1" width="14.5546875" bestFit="1" customWidth="1"/>
    <col min="3" max="3" width="15.6640625" bestFit="1" customWidth="1"/>
    <col min="4" max="4" width="11.44140625" bestFit="1" customWidth="1"/>
    <col min="7" max="7" width="10.6640625" bestFit="1" customWidth="1"/>
    <col min="8" max="8" width="10.6640625" customWidth="1"/>
    <col min="9" max="9" width="14.88671875" bestFit="1" customWidth="1"/>
    <col min="11" max="11" width="14.109375" bestFit="1" customWidth="1"/>
  </cols>
  <sheetData>
    <row r="1" spans="1:12" x14ac:dyDescent="0.3">
      <c r="A1" s="7"/>
      <c r="B1" s="7"/>
      <c r="C1" s="10" t="s">
        <v>7</v>
      </c>
      <c r="D1" s="10"/>
      <c r="E1" s="10"/>
      <c r="F1" s="10"/>
      <c r="G1" s="10" t="s">
        <v>9</v>
      </c>
      <c r="H1" s="10"/>
      <c r="I1" s="10"/>
      <c r="J1" s="10"/>
    </row>
    <row r="2" spans="1:12" x14ac:dyDescent="0.3">
      <c r="A2" s="1" t="s">
        <v>2</v>
      </c>
      <c r="B2" s="1" t="s">
        <v>3</v>
      </c>
      <c r="C2" s="1" t="s">
        <v>17</v>
      </c>
      <c r="D2" s="1" t="s">
        <v>18</v>
      </c>
      <c r="E2" s="1" t="s">
        <v>4</v>
      </c>
      <c r="F2" s="1" t="s">
        <v>5</v>
      </c>
      <c r="G2" s="1" t="s">
        <v>8</v>
      </c>
      <c r="H2" s="1" t="s">
        <v>22</v>
      </c>
      <c r="I2" s="1" t="s">
        <v>5</v>
      </c>
      <c r="J2" s="1" t="s">
        <v>6</v>
      </c>
      <c r="K2" s="1" t="s">
        <v>26</v>
      </c>
    </row>
    <row r="3" spans="1:12" x14ac:dyDescent="0.3">
      <c r="A3" s="2" t="s">
        <v>1</v>
      </c>
      <c r="B3" s="2">
        <v>1</v>
      </c>
      <c r="C3" s="4"/>
      <c r="D3" s="4"/>
      <c r="E3" s="2">
        <v>12</v>
      </c>
      <c r="F3" s="2">
        <f>SUM(F4:F7)</f>
        <v>32.15</v>
      </c>
      <c r="G3" s="2">
        <v>11.1</v>
      </c>
      <c r="H3" s="2">
        <v>0.85</v>
      </c>
      <c r="I3" s="2">
        <f>F3/H3</f>
        <v>37.823529411764703</v>
      </c>
      <c r="J3" s="2">
        <f>I3/G3</f>
        <v>3.4075251722310544</v>
      </c>
      <c r="K3" s="2">
        <f>J3*15%</f>
        <v>0.5111287758346581</v>
      </c>
    </row>
    <row r="4" spans="1:12" x14ac:dyDescent="0.3">
      <c r="A4" s="3" t="s">
        <v>13</v>
      </c>
      <c r="B4" s="3">
        <v>1</v>
      </c>
      <c r="C4" s="3">
        <v>4</v>
      </c>
      <c r="D4" s="4"/>
      <c r="E4" s="3">
        <v>5</v>
      </c>
      <c r="F4" s="3">
        <f>E4*C4*B4</f>
        <v>20</v>
      </c>
      <c r="G4" s="4"/>
      <c r="H4" s="4"/>
      <c r="I4" s="4"/>
      <c r="J4" s="4"/>
      <c r="K4" s="4"/>
    </row>
    <row r="5" spans="1:12" x14ac:dyDescent="0.3">
      <c r="A5" s="3" t="s">
        <v>14</v>
      </c>
      <c r="B5" s="3">
        <v>1</v>
      </c>
      <c r="C5" s="3">
        <v>2</v>
      </c>
      <c r="D5" s="4"/>
      <c r="E5" s="3">
        <v>5</v>
      </c>
      <c r="F5" s="3">
        <f t="shared" ref="F5:F7" si="0">E5*C5*B5</f>
        <v>10</v>
      </c>
      <c r="G5" s="4"/>
      <c r="H5" s="4"/>
      <c r="I5" s="4"/>
      <c r="J5" s="4"/>
      <c r="K5" s="4"/>
    </row>
    <row r="6" spans="1:12" x14ac:dyDescent="0.3">
      <c r="A6" s="3" t="s">
        <v>15</v>
      </c>
      <c r="B6" s="3">
        <v>1</v>
      </c>
      <c r="C6" s="3">
        <v>0.05</v>
      </c>
      <c r="D6" s="4"/>
      <c r="E6" s="3">
        <v>5</v>
      </c>
      <c r="F6" s="3">
        <f t="shared" si="0"/>
        <v>0.25</v>
      </c>
      <c r="G6" s="4"/>
      <c r="H6" s="4"/>
      <c r="I6" s="4"/>
      <c r="J6" s="4"/>
      <c r="K6" s="4"/>
    </row>
    <row r="7" spans="1:12" x14ac:dyDescent="0.3">
      <c r="A7" s="3" t="s">
        <v>16</v>
      </c>
      <c r="B7" s="3">
        <v>1</v>
      </c>
      <c r="C7" s="3">
        <v>0.38</v>
      </c>
      <c r="D7" s="4"/>
      <c r="E7" s="3">
        <v>5</v>
      </c>
      <c r="F7" s="3">
        <f t="shared" si="0"/>
        <v>1.9</v>
      </c>
      <c r="G7" s="4"/>
      <c r="H7" s="4"/>
      <c r="I7" s="4"/>
      <c r="J7" s="4"/>
      <c r="K7" s="4"/>
    </row>
    <row r="8" spans="1:12" x14ac:dyDescent="0.3">
      <c r="A8" s="2" t="s">
        <v>0</v>
      </c>
      <c r="B8" s="2">
        <v>2</v>
      </c>
      <c r="C8" s="2">
        <v>1.37</v>
      </c>
      <c r="D8" s="2">
        <v>15</v>
      </c>
      <c r="E8" s="2">
        <v>12</v>
      </c>
      <c r="F8" s="2">
        <f t="shared" ref="F8" si="1">B8*C8*E8</f>
        <v>32.880000000000003</v>
      </c>
      <c r="G8" s="2">
        <v>11.1</v>
      </c>
      <c r="H8" s="4"/>
      <c r="I8" s="2">
        <f>F8</f>
        <v>32.880000000000003</v>
      </c>
      <c r="J8" s="2">
        <f>I8/G8</f>
        <v>2.9621621621621625</v>
      </c>
      <c r="K8" s="4"/>
    </row>
    <row r="9" spans="1:12" x14ac:dyDescent="0.3">
      <c r="A9" s="2" t="s">
        <v>10</v>
      </c>
      <c r="B9" s="2">
        <v>2</v>
      </c>
      <c r="C9" s="4"/>
      <c r="D9" s="4"/>
      <c r="E9" s="2">
        <v>12</v>
      </c>
      <c r="F9" s="2">
        <f>SUM(F10:F12)</f>
        <v>0.92500000000000004</v>
      </c>
      <c r="G9" s="2">
        <v>11.1</v>
      </c>
      <c r="H9" s="2">
        <v>0.97</v>
      </c>
      <c r="I9" s="2">
        <f>F9/H9</f>
        <v>0.95360824742268047</v>
      </c>
      <c r="J9" s="2">
        <f>I9/G9</f>
        <v>8.5910652920962213E-2</v>
      </c>
      <c r="K9" s="2">
        <f>J9*3%</f>
        <v>2.5773195876288664E-3</v>
      </c>
    </row>
    <row r="10" spans="1:12" x14ac:dyDescent="0.3">
      <c r="A10" s="3" t="s">
        <v>19</v>
      </c>
      <c r="B10" s="3">
        <v>2</v>
      </c>
      <c r="C10" s="3">
        <v>1.4999999999999999E-2</v>
      </c>
      <c r="D10" s="4"/>
      <c r="E10" s="3">
        <v>5</v>
      </c>
      <c r="F10" s="3">
        <f>E10*C10*B10</f>
        <v>0.15</v>
      </c>
      <c r="G10" s="4"/>
      <c r="H10" s="4"/>
      <c r="I10" s="4"/>
      <c r="J10" s="4"/>
      <c r="K10" s="4"/>
    </row>
    <row r="11" spans="1:12" x14ac:dyDescent="0.3">
      <c r="A11" s="3" t="s">
        <v>20</v>
      </c>
      <c r="B11" s="3">
        <v>3</v>
      </c>
      <c r="C11" s="3">
        <v>5.0000000000000001E-3</v>
      </c>
      <c r="D11" s="4"/>
      <c r="E11" s="3">
        <v>5</v>
      </c>
      <c r="F11" s="3">
        <f t="shared" ref="F11:F12" si="2">E11*C11*B11</f>
        <v>7.5000000000000011E-2</v>
      </c>
      <c r="G11" s="4"/>
      <c r="H11" s="4"/>
      <c r="I11" s="4"/>
      <c r="J11" s="4"/>
      <c r="K11" s="4"/>
    </row>
    <row r="12" spans="1:12" x14ac:dyDescent="0.3">
      <c r="A12" s="3" t="s">
        <v>21</v>
      </c>
      <c r="B12" s="3">
        <v>2</v>
      </c>
      <c r="C12" s="3">
        <v>7.0000000000000007E-2</v>
      </c>
      <c r="D12" s="4"/>
      <c r="E12" s="3">
        <v>5</v>
      </c>
      <c r="F12" s="3">
        <f t="shared" si="2"/>
        <v>0.70000000000000007</v>
      </c>
      <c r="G12" s="4"/>
      <c r="H12" s="4"/>
      <c r="I12" s="4"/>
      <c r="J12" s="4"/>
      <c r="K12" s="4"/>
    </row>
    <row r="13" spans="1:12" x14ac:dyDescent="0.3">
      <c r="I13" s="5" t="s">
        <v>23</v>
      </c>
      <c r="J13" s="5">
        <f>SUM(J3:J9)</f>
        <v>6.4555979873141789</v>
      </c>
    </row>
    <row r="14" spans="1:12" x14ac:dyDescent="0.3">
      <c r="I14" s="6" t="s">
        <v>11</v>
      </c>
      <c r="J14" s="6">
        <f>J13+(J13*30%)</f>
        <v>8.3922773835084321</v>
      </c>
    </row>
    <row r="15" spans="1:12" x14ac:dyDescent="0.3">
      <c r="I15" s="6" t="s">
        <v>25</v>
      </c>
      <c r="J15" s="6">
        <v>10</v>
      </c>
      <c r="K15" s="8"/>
      <c r="L15" s="8"/>
    </row>
    <row r="16" spans="1:12" x14ac:dyDescent="0.3">
      <c r="I16" s="6" t="s">
        <v>12</v>
      </c>
      <c r="J16" s="6">
        <f>J14/J15</f>
        <v>0.83922773835084319</v>
      </c>
    </row>
    <row r="17" spans="9:10" x14ac:dyDescent="0.3">
      <c r="I17" s="6" t="s">
        <v>24</v>
      </c>
      <c r="J17" s="6">
        <f>((E8*D8*B8)/G8)/J15</f>
        <v>3.2432432432432434</v>
      </c>
    </row>
    <row r="18" spans="9:10" x14ac:dyDescent="0.3">
      <c r="I18" s="6" t="s">
        <v>27</v>
      </c>
      <c r="J18" s="9">
        <f>(J15*80%)/J14</f>
        <v>0.95325733819531611</v>
      </c>
    </row>
  </sheetData>
  <mergeCells count="2">
    <mergeCell ref="C1:F1"/>
    <mergeCell ref="G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 K (RA2211038010012)</dc:creator>
  <cp:lastModifiedBy>Tejas MK</cp:lastModifiedBy>
  <dcterms:created xsi:type="dcterms:W3CDTF">2025-11-13T09:52:26Z</dcterms:created>
  <dcterms:modified xsi:type="dcterms:W3CDTF">2026-03-02T08:29:28Z</dcterms:modified>
</cp:coreProperties>
</file>